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nykat\Downloads\"/>
    </mc:Choice>
  </mc:AlternateContent>
  <xr:revisionPtr revIDLastSave="0" documentId="13_ncr:1_{3E25AC7F-B828-49FB-BA43-D1C50E082A33}" xr6:coauthVersionLast="47" xr6:coauthVersionMax="47" xr10:uidLastSave="{00000000-0000-0000-0000-000000000000}"/>
  <bookViews>
    <workbookView xWindow="-120" yWindow="-120" windowWidth="29040" windowHeight="15840" tabRatio="850" xr2:uid="{00000000-000D-0000-FFFF-FFFF00000000}"/>
  </bookViews>
  <sheets>
    <sheet name="I полугодие 2026 рус" sheetId="30" r:id="rId1"/>
  </sheets>
  <definedNames>
    <definedName name="_xlnm.Print_Area" localSheetId="0">'I полугодие 2026 рус'!$A$4:$H$49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30" l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l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</calcChain>
</file>

<file path=xl/sharedStrings.xml><?xml version="1.0" encoding="utf-8"?>
<sst xmlns="http://schemas.openxmlformats.org/spreadsheetml/2006/main" count="275" uniqueCount="149">
  <si>
    <t>№ п/п</t>
  </si>
  <si>
    <t>ИИН/БИН</t>
  </si>
  <si>
    <t>Группа риска</t>
  </si>
  <si>
    <t>Категория предпринимательства проверяемого субъекта</t>
  </si>
  <si>
    <t xml:space="preserve"> Дата государственной регистрации проверяемого субъекта</t>
  </si>
  <si>
    <t>Наименование проверяемого объекта</t>
  </si>
  <si>
    <t>Наименование проверяемого субъекта</t>
  </si>
  <si>
    <t xml:space="preserve">Местонахождение проверяемого субъекта/объекта </t>
  </si>
  <si>
    <t>3</t>
  </si>
  <si>
    <t>ТОО «ТАУЕКЕЛ-Т»</t>
  </si>
  <si>
    <t>ТОО «Центр крепежных систем»</t>
  </si>
  <si>
    <t>ТОО «Asia Freight»</t>
  </si>
  <si>
    <t>ТОО «Компания Ас-Ай ЛТД»</t>
  </si>
  <si>
    <t>ТОО «Ком- Сервис»</t>
  </si>
  <si>
    <t>ТОО «Toimart»</t>
  </si>
  <si>
    <t>имущество, находящееся на праве собственности или ином законном основании у проверяемого субъекта, подлежащее государственному контролю в области энергосбережения и повышения энергоэффективности</t>
  </si>
  <si>
    <t>Алматинская область, Жамбылский район, село Узынагаш, улица Саурық Батыр, здание 213Г</t>
  </si>
  <si>
    <t>Алматинская область, Карасайский район, село Кемертоган, 8 квартал, строение 251/2</t>
  </si>
  <si>
    <t xml:space="preserve">ТОО «Аврора 77»
</t>
  </si>
  <si>
    <t xml:space="preserve">ТОО «ТД «Astana Motors Almaty»
</t>
  </si>
  <si>
    <t xml:space="preserve">ТОО «Jfood Distribution»
</t>
  </si>
  <si>
    <t xml:space="preserve">ТОО «Кали»
</t>
  </si>
  <si>
    <t xml:space="preserve">ТОО «Алматыгороформление»
</t>
  </si>
  <si>
    <t xml:space="preserve">ТОО «Tema Retail кz» (Тема Ретэйл Кз)
</t>
  </si>
  <si>
    <t xml:space="preserve">ТОО «Energy Companents(Encom)»
</t>
  </si>
  <si>
    <t xml:space="preserve">ТОО «Хлебобулочный Комбинат»Алматынан»
</t>
  </si>
  <si>
    <t xml:space="preserve">РГП «Национальный центр по комплексной переработке минерального сырья Республики Казахстан»    
</t>
  </si>
  <si>
    <t xml:space="preserve">ТОО «МаВла»
</t>
  </si>
  <si>
    <t xml:space="preserve">ТОО «КЕМИР»
</t>
  </si>
  <si>
    <t xml:space="preserve">ТОО «Viled Fashion» (Вилед Фешн)
</t>
  </si>
  <si>
    <t xml:space="preserve">ТОО «Корпорация Сайман»
</t>
  </si>
  <si>
    <t xml:space="preserve">ТОО «Кипрос»
</t>
  </si>
  <si>
    <t xml:space="preserve">ТОО «Актобе-Экорт»
</t>
  </si>
  <si>
    <t xml:space="preserve">ТОО «Научно-производственное предприятие «ИНТЕРРИН»
</t>
  </si>
  <si>
    <t xml:space="preserve">ТОО «Bazis-А Corp.»
</t>
  </si>
  <si>
    <t xml:space="preserve">ТОО «Трансавиа»
</t>
  </si>
  <si>
    <t xml:space="preserve">ТОО «Луч»
</t>
  </si>
  <si>
    <t xml:space="preserve">ОО «КСО»
</t>
  </si>
  <si>
    <t xml:space="preserve">ТОО «MONOTRANS»
</t>
  </si>
  <si>
    <t xml:space="preserve">ТОО «Лик»
</t>
  </si>
  <si>
    <t xml:space="preserve">ТОО «Astana Motor Astana»
</t>
  </si>
  <si>
    <t xml:space="preserve">ТОО «Астанаводсервис»
</t>
  </si>
  <si>
    <t xml:space="preserve">ТОО «Агентство премьер»
</t>
  </si>
  <si>
    <t xml:space="preserve">ТОО «Arlan-Trans-Astana»
</t>
  </si>
  <si>
    <t xml:space="preserve">ТОО «Asti»
</t>
  </si>
  <si>
    <t xml:space="preserve">ТОО «Орда Сервис Нс»
</t>
  </si>
  <si>
    <t xml:space="preserve">ТОО «Bem Group»
</t>
  </si>
  <si>
    <t xml:space="preserve">ТОО «В.В. Nura»
</t>
  </si>
  <si>
    <t xml:space="preserve">ТОО «Seed Educational Complex»
</t>
  </si>
  <si>
    <t xml:space="preserve">ТОО «Emerald Tower»
</t>
  </si>
  <si>
    <t xml:space="preserve">ТОО «Президент отель»
</t>
  </si>
  <si>
    <t xml:space="preserve">ТОО «Павлодарсоль»
</t>
  </si>
  <si>
    <t xml:space="preserve">ТОО «Агро Фирма «Ақжар – Өндіріс» 
</t>
  </si>
  <si>
    <t xml:space="preserve">ТОО «БК-Бетон»
</t>
  </si>
  <si>
    <t xml:space="preserve">ТОО «Посук титаниум»(Posuk titanium)
</t>
  </si>
  <si>
    <t xml:space="preserve">ТОО «Транспортная компания города Усть-Каменогорска»
</t>
  </si>
  <si>
    <t xml:space="preserve">001240015077
</t>
  </si>
  <si>
    <t xml:space="preserve">020440004288
</t>
  </si>
  <si>
    <t>020940000243</t>
  </si>
  <si>
    <t>090740007830</t>
  </si>
  <si>
    <t xml:space="preserve">060540001175
</t>
  </si>
  <si>
    <t xml:space="preserve">090740001544
</t>
  </si>
  <si>
    <t xml:space="preserve">041040001863
</t>
  </si>
  <si>
    <t xml:space="preserve">000640002027
</t>
  </si>
  <si>
    <t xml:space="preserve">031040004852
</t>
  </si>
  <si>
    <t xml:space="preserve">010440005690
</t>
  </si>
  <si>
    <t xml:space="preserve">081140008530
</t>
  </si>
  <si>
    <t xml:space="preserve">001140004068
</t>
  </si>
  <si>
    <t xml:space="preserve">061240011441
</t>
  </si>
  <si>
    <t xml:space="preserve">031040005385
</t>
  </si>
  <si>
    <t xml:space="preserve">Алматинская область, Илийский район, поселок Боралдай, улица Северная, здание 13В, </t>
  </si>
  <si>
    <t>город Алматы, Турксибский район, улица Закарпатская, дом 158</t>
  </si>
  <si>
    <t>город Алматы, Турксибский район, проспект Суюнбая, 163 М</t>
  </si>
  <si>
    <t>город Алматы,
Турксибский район,
улица Волочаевская, 379</t>
  </si>
  <si>
    <t xml:space="preserve">город Алматы,
Жетысуский район,
проспект Суюнбая, 151
</t>
  </si>
  <si>
    <t>город Алматы.
Жетысуский район,
улица Бокейханова, 39</t>
  </si>
  <si>
    <t xml:space="preserve">город Алматы, Жетысуский район,
улица Омарова, 45
</t>
  </si>
  <si>
    <t xml:space="preserve">город Алматы.
Жетысуский район, 
проспект Сейфуллина, 291
</t>
  </si>
  <si>
    <t xml:space="preserve">
город Алматы, Жетысуский район, проспект Райымбека, 239Г
</t>
  </si>
  <si>
    <t xml:space="preserve">
Туркестанская область, город Кентау, улица К.Сатпаева, 17
</t>
  </si>
  <si>
    <t xml:space="preserve">город Алматы, 
Ауэзовский район,
проспект Райымбека, 486 б
</t>
  </si>
  <si>
    <t xml:space="preserve">город Алматы, Ауэзовский район,
улица Жандосова, 67                      
</t>
  </si>
  <si>
    <t xml:space="preserve">город Алматы, Ауэзовский район
улица Сулейменова, 43/20
</t>
  </si>
  <si>
    <t xml:space="preserve">город Алматы, 
Медеуский район,
улицаЧайкина, 14
</t>
  </si>
  <si>
    <t xml:space="preserve">город Алматы, 
Медеуский район, м/н САМАЛ 2, дом 67
</t>
  </si>
  <si>
    <t xml:space="preserve">город Алматы, 
Медеуский район,
м/н Алатау, улица Шевченко 162/7
</t>
  </si>
  <si>
    <t xml:space="preserve">город Алматы, 
Медеуский район,
улица Азербаева, 58
</t>
  </si>
  <si>
    <t xml:space="preserve">город Алматы,  
Алмалинский район,
улица Розыбакиева, 4
</t>
  </si>
  <si>
    <t>город Алматы, ​​
улица Гоголя, 253</t>
  </si>
  <si>
    <t>​Алматинская область, Талгарский район, город Талгар, улица Ахметова, дом 5</t>
  </si>
  <si>
    <t xml:space="preserve">город Алматы,
Бостандыкский район,
проспект Аль Фараби, 5/1, здание 3 А
</t>
  </si>
  <si>
    <t xml:space="preserve">город Алматы, Бостандыкский район, проспект Достык 85
</t>
  </si>
  <si>
    <t xml:space="preserve">город Алматы,
Бостандыкский район,
улица Сатпаева, 50
</t>
  </si>
  <si>
    <t xml:space="preserve">город Алматы,
Бостандыкский район,
улица Сатпаева, 29/3
</t>
  </si>
  <si>
    <t xml:space="preserve">Туркестанская область, Толебийский район, село Киелитас, учетный квартал 80, здание 1978 </t>
  </si>
  <si>
    <t xml:space="preserve">город Алматы,
Алатауский район,
улица Немировича-Данченко, 26
</t>
  </si>
  <si>
    <t xml:space="preserve">город Астана, Алматинский район,
проспект Шәкәрім Құдайбердіұлы, здание 6
</t>
  </si>
  <si>
    <t xml:space="preserve">город Астана, Сарыаркинский район,
улица Мыржакыпа Дулатова, 174
</t>
  </si>
  <si>
    <t xml:space="preserve">город Астана, Сарыаркинский район,
проспект Жеңіс, 20
</t>
  </si>
  <si>
    <t xml:space="preserve">город Астана, Сарыаркинский район,
улица Мұхтар Ауезова 8
</t>
  </si>
  <si>
    <t xml:space="preserve">город Астана, Алматинский район, улица Жұмекен Нәжімеденова 62
</t>
  </si>
  <si>
    <t>город Астана, район Нұра, жилой массив Комсомольский, улица Қарашаш ана,  16</t>
  </si>
  <si>
    <t>Акмолинская область, Шортандинский район, поселок Шортанды, улица Михаила Лермонтова, здание 16Д</t>
  </si>
  <si>
    <t xml:space="preserve">город Астана, Есильский район, проспект Мангилик Ел, здание 33/1
</t>
  </si>
  <si>
    <t>город Астана, Алматинский район, массив VIP-Городок, переулок 37, дом 8</t>
  </si>
  <si>
    <t>город Астана, Есильский район, улица
Дінмұхамед Конаева, 10</t>
  </si>
  <si>
    <t xml:space="preserve">город Астана, Есильский район, улица Дінмұхамед Конаева, 7
</t>
  </si>
  <si>
    <t>Павлодарская область, город Павлодар, улица Әлихан Бөкейханұлы, строение 326</t>
  </si>
  <si>
    <t xml:space="preserve">Павлодарская область, Майский район, село Коктобе, улица Баймуратова, 37 
</t>
  </si>
  <si>
    <t xml:space="preserve">Костанайская область, город Костанай, улица Узкоколейная, 56
</t>
  </si>
  <si>
    <t xml:space="preserve">Восточно-Казахстанская область, город Усть-Каменогорск,
улица Бағдат Шаяхметова, здание 1/4
</t>
  </si>
  <si>
    <t xml:space="preserve">Восточно-Казахстанская область, город Усть-Каменогорск,
улица Казахстан, 154 б
</t>
  </si>
  <si>
    <t>201040028925</t>
  </si>
  <si>
    <t>171040015142</t>
  </si>
  <si>
    <t>980940002912</t>
  </si>
  <si>
    <t>971140002181</t>
  </si>
  <si>
    <t>990740000277</t>
  </si>
  <si>
    <t>940640001371</t>
  </si>
  <si>
    <t>100640002890</t>
  </si>
  <si>
    <t>991040000728</t>
  </si>
  <si>
    <t>110640006012</t>
  </si>
  <si>
    <t>990340008397</t>
  </si>
  <si>
    <t>160440012653</t>
  </si>
  <si>
    <t>921240000165</t>
  </si>
  <si>
    <t>990840000082</t>
  </si>
  <si>
    <t>981040000583</t>
  </si>
  <si>
    <t>970540002768</t>
  </si>
  <si>
    <t>960340000376</t>
  </si>
  <si>
    <t>990540004331</t>
  </si>
  <si>
    <t>920140000183</t>
  </si>
  <si>
    <t>180440012082</t>
  </si>
  <si>
    <t>101040005370</t>
  </si>
  <si>
    <t>180940018931</t>
  </si>
  <si>
    <t>100240021515</t>
  </si>
  <si>
    <t>151240006296</t>
  </si>
  <si>
    <t>130540003167</t>
  </si>
  <si>
    <t>150740007418</t>
  </si>
  <si>
    <t>110140008497</t>
  </si>
  <si>
    <t>200540009914</t>
  </si>
  <si>
    <t>100440010458</t>
  </si>
  <si>
    <t>940940001095</t>
  </si>
  <si>
    <t>220140024719</t>
  </si>
  <si>
    <t>Утвержден приказом Министра №516 от 02.12.2025 г.</t>
  </si>
  <si>
    <t>Средние предприятия</t>
  </si>
  <si>
    <t>Малые предприятия</t>
  </si>
  <si>
    <t>Крупные предприятия</t>
  </si>
  <si>
    <t>малые предприятия</t>
  </si>
  <si>
    <t>Список профилактического контроля с посещением субъекта (объекта) контроля на первое полугодие 2026 года в области энергосбережения и повышения энергоэффективности</t>
  </si>
  <si>
    <t>Высокая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</si>
</sst>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_-* #,##0.00&quot;р.&quot;_-;\-* #,##0.00&quot;р.&quot;_-;_-* &quot;-&quot;??&quot;р.&quot;_-;_-@_-"/>
    <numFmt numFmtId="166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3F3F3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12121"/>
      <name val="Times New Roman"/>
      <family val="1"/>
    </font>
    <font>
      <sz val="12"/>
      <color rgb="FF000000"/>
      <name val="Times New Roman"/>
      <family val="1"/>
    </font>
    <font>
      <sz val="12"/>
      <color rgb="FF2C3E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7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" fillId="0" borderId="0"/>
    <xf numFmtId="0" fontId="7" fillId="0" borderId="0"/>
    <xf numFmtId="0" fontId="4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5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2" fillId="0" borderId="0"/>
    <xf numFmtId="0" fontId="3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" fillId="0" borderId="0"/>
    <xf numFmtId="0" fontId="8" fillId="3" borderId="4" applyNumberFormat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10" fillId="2" borderId="0" xfId="0" applyFont="1" applyFill="1"/>
    <xf numFmtId="0" fontId="10" fillId="2" borderId="0" xfId="0" applyFont="1" applyFill="1" applyAlignment="1">
      <alignment vertical="top"/>
    </xf>
    <xf numFmtId="49" fontId="10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top" wrapText="1"/>
    </xf>
    <xf numFmtId="164" fontId="13" fillId="2" borderId="2" xfId="0" applyNumberFormat="1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15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49" fontId="14" fillId="0" borderId="1" xfId="76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77">
    <cellStyle name="_x0005__x001c_" xfId="7" xr:uid="{00000000-0005-0000-0000-000000000000}"/>
    <cellStyle name="_x0005__x001c_ 2 3" xfId="55" xr:uid="{00000000-0005-0000-0000-000001000000}"/>
    <cellStyle name="_x0005__x001c_ 23" xfId="8" xr:uid="{00000000-0005-0000-0000-000002000000}"/>
    <cellStyle name="_x0005__x001c_ 4" xfId="9" xr:uid="{00000000-0005-0000-0000-000003000000}"/>
    <cellStyle name="_x0005__x001c__Астана русс" xfId="10" xr:uid="{00000000-0005-0000-0000-000004000000}"/>
    <cellStyle name="Вывод 2" xfId="75" xr:uid="{00000000-0005-0000-0000-000005000000}"/>
    <cellStyle name="Денежный 2" xfId="11" xr:uid="{00000000-0005-0000-0000-000006000000}"/>
    <cellStyle name="Денежный 2 2" xfId="12" xr:uid="{00000000-0005-0000-0000-000007000000}"/>
    <cellStyle name="Денежный 2 2 2" xfId="56" xr:uid="{00000000-0005-0000-0000-000008000000}"/>
    <cellStyle name="Денежный 2 3" xfId="57" xr:uid="{00000000-0005-0000-0000-000009000000}"/>
    <cellStyle name="Обычный" xfId="0" builtinId="0"/>
    <cellStyle name="Обычный 10" xfId="13" xr:uid="{00000000-0005-0000-0000-00000B000000}"/>
    <cellStyle name="Обычный 11" xfId="14" xr:uid="{00000000-0005-0000-0000-00000C000000}"/>
    <cellStyle name="Обычный 11 2" xfId="15" xr:uid="{00000000-0005-0000-0000-00000D000000}"/>
    <cellStyle name="Обычный 11 2 2" xfId="58" xr:uid="{00000000-0005-0000-0000-00000E000000}"/>
    <cellStyle name="Обычный 12" xfId="16" xr:uid="{00000000-0005-0000-0000-00000F000000}"/>
    <cellStyle name="Обычный 12 2" xfId="17" xr:uid="{00000000-0005-0000-0000-000010000000}"/>
    <cellStyle name="Обычный 12 2 2" xfId="59" xr:uid="{00000000-0005-0000-0000-000011000000}"/>
    <cellStyle name="Обычный 12 3" xfId="18" xr:uid="{00000000-0005-0000-0000-000012000000}"/>
    <cellStyle name="Обычный 12 4" xfId="19" xr:uid="{00000000-0005-0000-0000-000013000000}"/>
    <cellStyle name="Обычный 13" xfId="20" xr:uid="{00000000-0005-0000-0000-000014000000}"/>
    <cellStyle name="Обычный 14" xfId="3" xr:uid="{00000000-0005-0000-0000-000015000000}"/>
    <cellStyle name="Обычный 14 2" xfId="21" xr:uid="{00000000-0005-0000-0000-000016000000}"/>
    <cellStyle name="Обычный 14 3" xfId="60" xr:uid="{00000000-0005-0000-0000-000017000000}"/>
    <cellStyle name="Обычный 14 3 2 3 2" xfId="22" xr:uid="{00000000-0005-0000-0000-000018000000}"/>
    <cellStyle name="Обычный 15" xfId="23" xr:uid="{00000000-0005-0000-0000-000019000000}"/>
    <cellStyle name="Обычный 16" xfId="24" xr:uid="{00000000-0005-0000-0000-00001A000000}"/>
    <cellStyle name="Обычный 17" xfId="25" xr:uid="{00000000-0005-0000-0000-00001B000000}"/>
    <cellStyle name="Обычный 18" xfId="54" xr:uid="{00000000-0005-0000-0000-00001C000000}"/>
    <cellStyle name="Обычный 19" xfId="26" xr:uid="{00000000-0005-0000-0000-00001D000000}"/>
    <cellStyle name="Обычный 2" xfId="27" xr:uid="{00000000-0005-0000-0000-00001E000000}"/>
    <cellStyle name="Обычный 2 2" xfId="28" xr:uid="{00000000-0005-0000-0000-00001F000000}"/>
    <cellStyle name="Обычный 2 2 2" xfId="61" xr:uid="{00000000-0005-0000-0000-000020000000}"/>
    <cellStyle name="Обычный 2 3" xfId="29" xr:uid="{00000000-0005-0000-0000-000021000000}"/>
    <cellStyle name="Обычный 2 3 2" xfId="30" xr:uid="{00000000-0005-0000-0000-000022000000}"/>
    <cellStyle name="Обычный 2 4" xfId="31" xr:uid="{00000000-0005-0000-0000-000023000000}"/>
    <cellStyle name="Обычный 2 4 2" xfId="62" xr:uid="{00000000-0005-0000-0000-000024000000}"/>
    <cellStyle name="Обычный 2 5" xfId="53" xr:uid="{00000000-0005-0000-0000-000025000000}"/>
    <cellStyle name="Обычный 2 5 2" xfId="63" xr:uid="{00000000-0005-0000-0000-000026000000}"/>
    <cellStyle name="Обычный 2 6" xfId="74" xr:uid="{00000000-0005-0000-0000-000027000000}"/>
    <cellStyle name="Обычный 20" xfId="32" xr:uid="{00000000-0005-0000-0000-000028000000}"/>
    <cellStyle name="Обычный 21" xfId="64" xr:uid="{00000000-0005-0000-0000-000029000000}"/>
    <cellStyle name="Обычный 22" xfId="65" xr:uid="{00000000-0005-0000-0000-00002A000000}"/>
    <cellStyle name="Обычный 23" xfId="66" xr:uid="{00000000-0005-0000-0000-00002B000000}"/>
    <cellStyle name="Обычный 3" xfId="4" xr:uid="{00000000-0005-0000-0000-00002C000000}"/>
    <cellStyle name="Обычный 3 2" xfId="33" xr:uid="{00000000-0005-0000-0000-00002D000000}"/>
    <cellStyle name="Обычный 3 2 2" xfId="67" xr:uid="{00000000-0005-0000-0000-00002E000000}"/>
    <cellStyle name="Обычный 3 3" xfId="68" xr:uid="{00000000-0005-0000-0000-00002F000000}"/>
    <cellStyle name="Обычный 3 4" xfId="69" xr:uid="{00000000-0005-0000-0000-000030000000}"/>
    <cellStyle name="Обычный 4" xfId="34" xr:uid="{00000000-0005-0000-0000-000031000000}"/>
    <cellStyle name="Обычный 4 2" xfId="35" xr:uid="{00000000-0005-0000-0000-000032000000}"/>
    <cellStyle name="Обычный 46" xfId="36" xr:uid="{00000000-0005-0000-0000-000033000000}"/>
    <cellStyle name="Обычный 47" xfId="37" xr:uid="{00000000-0005-0000-0000-000034000000}"/>
    <cellStyle name="Обычный 5" xfId="1" xr:uid="{00000000-0005-0000-0000-000035000000}"/>
    <cellStyle name="Обычный 5 2" xfId="2" xr:uid="{00000000-0005-0000-0000-000036000000}"/>
    <cellStyle name="Обычный 5 3" xfId="38" xr:uid="{00000000-0005-0000-0000-000037000000}"/>
    <cellStyle name="Обычный 51" xfId="39" xr:uid="{00000000-0005-0000-0000-000038000000}"/>
    <cellStyle name="Обычный 55" xfId="40" xr:uid="{00000000-0005-0000-0000-000039000000}"/>
    <cellStyle name="Обычный 56" xfId="41" xr:uid="{00000000-0005-0000-0000-00003A000000}"/>
    <cellStyle name="Обычный 57" xfId="42" xr:uid="{00000000-0005-0000-0000-00003B000000}"/>
    <cellStyle name="Обычный 6" xfId="43" xr:uid="{00000000-0005-0000-0000-00003C000000}"/>
    <cellStyle name="Обычный 63" xfId="44" xr:uid="{00000000-0005-0000-0000-00003D000000}"/>
    <cellStyle name="Обычный 64" xfId="45" xr:uid="{00000000-0005-0000-0000-00003E000000}"/>
    <cellStyle name="Обычный 66" xfId="46" xr:uid="{00000000-0005-0000-0000-00003F000000}"/>
    <cellStyle name="Обычный 7" xfId="47" xr:uid="{00000000-0005-0000-0000-000040000000}"/>
    <cellStyle name="Обычный 7 2" xfId="48" xr:uid="{00000000-0005-0000-0000-000041000000}"/>
    <cellStyle name="Обычный 7 2 2" xfId="70" xr:uid="{00000000-0005-0000-0000-000042000000}"/>
    <cellStyle name="Обычный 8" xfId="5" xr:uid="{00000000-0005-0000-0000-000043000000}"/>
    <cellStyle name="Обычный 8 2" xfId="6" xr:uid="{00000000-0005-0000-0000-000044000000}"/>
    <cellStyle name="Обычный 8 3" xfId="71" xr:uid="{00000000-0005-0000-0000-000045000000}"/>
    <cellStyle name="Обычный 9" xfId="49" xr:uid="{00000000-0005-0000-0000-000046000000}"/>
    <cellStyle name="Процентный" xfId="76" builtinId="5"/>
    <cellStyle name="Процентный 2" xfId="50" xr:uid="{00000000-0005-0000-0000-000048000000}"/>
    <cellStyle name="Процентный 2 2" xfId="72" xr:uid="{00000000-0005-0000-0000-000049000000}"/>
    <cellStyle name="Финансовый 2" xfId="51" xr:uid="{00000000-0005-0000-0000-00004A000000}"/>
    <cellStyle name="Финансовый 2 2" xfId="73" xr:uid="{00000000-0005-0000-0000-00004B000000}"/>
    <cellStyle name="Финансовый 3" xfId="52" xr:uid="{00000000-0005-0000-0000-00004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topLeftCell="A45" zoomScale="90" zoomScaleNormal="90" zoomScaleSheetLayoutView="87" workbookViewId="0">
      <selection activeCell="G49" sqref="G49"/>
    </sheetView>
  </sheetViews>
  <sheetFormatPr defaultColWidth="8.85546875" defaultRowHeight="75" customHeight="1" x14ac:dyDescent="0.25"/>
  <cols>
    <col min="1" max="1" width="13.85546875" style="1" customWidth="1"/>
    <col min="2" max="2" width="30.7109375" style="1" customWidth="1"/>
    <col min="3" max="3" width="34.140625" style="3" customWidth="1"/>
    <col min="4" max="5" width="30.7109375" style="1" customWidth="1"/>
    <col min="6" max="8" width="30.7109375" style="2" customWidth="1"/>
    <col min="9" max="16384" width="8.85546875" style="1"/>
  </cols>
  <sheetData>
    <row r="1" spans="1:8" ht="75" customHeight="1" x14ac:dyDescent="0.25">
      <c r="H1" s="5" t="s">
        <v>142</v>
      </c>
    </row>
    <row r="3" spans="1:8" s="4" customFormat="1" ht="75" customHeight="1" x14ac:dyDescent="0.25">
      <c r="A3" s="27" t="s">
        <v>147</v>
      </c>
      <c r="B3" s="28"/>
      <c r="C3" s="28"/>
      <c r="D3" s="28"/>
      <c r="E3" s="28"/>
      <c r="F3" s="28"/>
      <c r="G3" s="28"/>
      <c r="H3" s="28"/>
    </row>
    <row r="4" spans="1:8" ht="75" customHeight="1" x14ac:dyDescent="0.25">
      <c r="A4" s="23" t="s">
        <v>0</v>
      </c>
      <c r="B4" s="6" t="s">
        <v>6</v>
      </c>
      <c r="C4" s="7" t="s">
        <v>1</v>
      </c>
      <c r="D4" s="6" t="s">
        <v>5</v>
      </c>
      <c r="E4" s="6" t="s">
        <v>7</v>
      </c>
      <c r="F4" s="6" t="s">
        <v>2</v>
      </c>
      <c r="G4" s="6" t="s">
        <v>3</v>
      </c>
      <c r="H4" s="8" t="s">
        <v>4</v>
      </c>
    </row>
    <row r="5" spans="1:8" ht="75" customHeight="1" x14ac:dyDescent="0.25">
      <c r="A5" s="9">
        <v>1</v>
      </c>
      <c r="B5" s="10">
        <v>2</v>
      </c>
      <c r="C5" s="7" t="s">
        <v>8</v>
      </c>
      <c r="D5" s="10">
        <v>4</v>
      </c>
      <c r="E5" s="10">
        <v>5</v>
      </c>
      <c r="F5" s="10">
        <v>6</v>
      </c>
      <c r="G5" s="10">
        <v>7</v>
      </c>
      <c r="H5" s="10">
        <v>8</v>
      </c>
    </row>
    <row r="6" spans="1:8" ht="75" customHeight="1" x14ac:dyDescent="0.25">
      <c r="A6" s="11">
        <v>1</v>
      </c>
      <c r="B6" s="12" t="s">
        <v>18</v>
      </c>
      <c r="C6" s="24" t="s">
        <v>112</v>
      </c>
      <c r="D6" s="12" t="s">
        <v>15</v>
      </c>
      <c r="E6" s="12" t="s">
        <v>16</v>
      </c>
      <c r="F6" s="12" t="s">
        <v>148</v>
      </c>
      <c r="G6" s="25" t="s">
        <v>143</v>
      </c>
      <c r="H6" s="13">
        <v>44127</v>
      </c>
    </row>
    <row r="7" spans="1:8" ht="75" customHeight="1" x14ac:dyDescent="0.25">
      <c r="A7" s="11">
        <f>A6+1</f>
        <v>2</v>
      </c>
      <c r="B7" s="14" t="s">
        <v>9</v>
      </c>
      <c r="C7" s="19" t="s">
        <v>56</v>
      </c>
      <c r="D7" s="12" t="s">
        <v>15</v>
      </c>
      <c r="E7" s="12" t="s">
        <v>17</v>
      </c>
      <c r="F7" s="12" t="s">
        <v>148</v>
      </c>
      <c r="G7" s="26" t="s">
        <v>144</v>
      </c>
      <c r="H7" s="15">
        <v>36865</v>
      </c>
    </row>
    <row r="8" spans="1:8" ht="75" customHeight="1" x14ac:dyDescent="0.25">
      <c r="A8" s="11">
        <f t="shared" ref="A8:A49" si="0">A7+1</f>
        <v>3</v>
      </c>
      <c r="B8" s="12" t="s">
        <v>10</v>
      </c>
      <c r="C8" s="19" t="s">
        <v>113</v>
      </c>
      <c r="D8" s="12" t="s">
        <v>15</v>
      </c>
      <c r="E8" s="16" t="s">
        <v>70</v>
      </c>
      <c r="F8" s="12" t="s">
        <v>148</v>
      </c>
      <c r="G8" s="26" t="s">
        <v>143</v>
      </c>
      <c r="H8" s="15">
        <v>43019</v>
      </c>
    </row>
    <row r="9" spans="1:8" ht="75" customHeight="1" x14ac:dyDescent="0.25">
      <c r="A9" s="11">
        <f t="shared" si="0"/>
        <v>4</v>
      </c>
      <c r="B9" s="12" t="s">
        <v>11</v>
      </c>
      <c r="C9" s="19" t="s">
        <v>57</v>
      </c>
      <c r="D9" s="12" t="s">
        <v>15</v>
      </c>
      <c r="E9" s="17" t="s">
        <v>71</v>
      </c>
      <c r="F9" s="12" t="s">
        <v>148</v>
      </c>
      <c r="G9" s="26" t="s">
        <v>143</v>
      </c>
      <c r="H9" s="15">
        <v>37374</v>
      </c>
    </row>
    <row r="10" spans="1:8" ht="75" customHeight="1" x14ac:dyDescent="0.25">
      <c r="A10" s="11">
        <f t="shared" si="0"/>
        <v>5</v>
      </c>
      <c r="B10" s="12" t="s">
        <v>12</v>
      </c>
      <c r="C10" s="19" t="s">
        <v>58</v>
      </c>
      <c r="D10" s="12" t="s">
        <v>15</v>
      </c>
      <c r="E10" s="17" t="s">
        <v>72</v>
      </c>
      <c r="F10" s="12" t="s">
        <v>148</v>
      </c>
      <c r="G10" s="26" t="s">
        <v>143</v>
      </c>
      <c r="H10" s="18">
        <v>37501</v>
      </c>
    </row>
    <row r="11" spans="1:8" ht="75" customHeight="1" x14ac:dyDescent="0.25">
      <c r="A11" s="11">
        <f t="shared" si="0"/>
        <v>6</v>
      </c>
      <c r="B11" s="12" t="s">
        <v>13</v>
      </c>
      <c r="C11" s="19" t="s">
        <v>114</v>
      </c>
      <c r="D11" s="12" t="s">
        <v>15</v>
      </c>
      <c r="E11" s="12" t="s">
        <v>73</v>
      </c>
      <c r="F11" s="12" t="s">
        <v>148</v>
      </c>
      <c r="G11" s="26" t="s">
        <v>144</v>
      </c>
      <c r="H11" s="13">
        <v>36062</v>
      </c>
    </row>
    <row r="12" spans="1:8" ht="75" customHeight="1" x14ac:dyDescent="0.25">
      <c r="A12" s="11">
        <f t="shared" si="0"/>
        <v>7</v>
      </c>
      <c r="B12" s="12" t="s">
        <v>19</v>
      </c>
      <c r="C12" s="19" t="s">
        <v>59</v>
      </c>
      <c r="D12" s="12" t="s">
        <v>15</v>
      </c>
      <c r="E12" s="12" t="s">
        <v>74</v>
      </c>
      <c r="F12" s="12" t="s">
        <v>148</v>
      </c>
      <c r="G12" s="26" t="s">
        <v>143</v>
      </c>
      <c r="H12" s="15">
        <v>40008</v>
      </c>
    </row>
    <row r="13" spans="1:8" ht="75" customHeight="1" x14ac:dyDescent="0.25">
      <c r="A13" s="11">
        <f t="shared" si="0"/>
        <v>8</v>
      </c>
      <c r="B13" s="12" t="s">
        <v>20</v>
      </c>
      <c r="C13" s="19" t="s">
        <v>115</v>
      </c>
      <c r="D13" s="12" t="s">
        <v>15</v>
      </c>
      <c r="E13" s="12" t="s">
        <v>75</v>
      </c>
      <c r="F13" s="12" t="s">
        <v>148</v>
      </c>
      <c r="G13" s="26" t="s">
        <v>143</v>
      </c>
      <c r="H13" s="15">
        <v>35738</v>
      </c>
    </row>
    <row r="14" spans="1:8" ht="75" customHeight="1" x14ac:dyDescent="0.25">
      <c r="A14" s="11">
        <f t="shared" si="0"/>
        <v>9</v>
      </c>
      <c r="B14" s="12" t="s">
        <v>21</v>
      </c>
      <c r="C14" s="20" t="s">
        <v>116</v>
      </c>
      <c r="D14" s="12" t="s">
        <v>15</v>
      </c>
      <c r="E14" s="12" t="s">
        <v>76</v>
      </c>
      <c r="F14" s="12" t="s">
        <v>148</v>
      </c>
      <c r="G14" s="26" t="s">
        <v>144</v>
      </c>
      <c r="H14" s="15">
        <v>36360</v>
      </c>
    </row>
    <row r="15" spans="1:8" ht="75" customHeight="1" x14ac:dyDescent="0.25">
      <c r="A15" s="11">
        <f t="shared" si="0"/>
        <v>10</v>
      </c>
      <c r="B15" s="12" t="s">
        <v>22</v>
      </c>
      <c r="C15" s="19" t="s">
        <v>117</v>
      </c>
      <c r="D15" s="12" t="s">
        <v>15</v>
      </c>
      <c r="E15" s="12" t="s">
        <v>77</v>
      </c>
      <c r="F15" s="12" t="s">
        <v>148</v>
      </c>
      <c r="G15" s="26" t="s">
        <v>144</v>
      </c>
      <c r="H15" s="15">
        <v>41884</v>
      </c>
    </row>
    <row r="16" spans="1:8" ht="75" customHeight="1" x14ac:dyDescent="0.25">
      <c r="A16" s="11">
        <f t="shared" si="0"/>
        <v>11</v>
      </c>
      <c r="B16" s="12" t="s">
        <v>23</v>
      </c>
      <c r="C16" s="19" t="s">
        <v>118</v>
      </c>
      <c r="D16" s="12" t="s">
        <v>15</v>
      </c>
      <c r="E16" s="12" t="s">
        <v>78</v>
      </c>
      <c r="F16" s="12" t="s">
        <v>148</v>
      </c>
      <c r="G16" s="26" t="s">
        <v>145</v>
      </c>
      <c r="H16" s="15">
        <v>40332</v>
      </c>
    </row>
    <row r="17" spans="1:8" ht="75" customHeight="1" x14ac:dyDescent="0.25">
      <c r="A17" s="11">
        <f t="shared" si="0"/>
        <v>12</v>
      </c>
      <c r="B17" s="12" t="s">
        <v>24</v>
      </c>
      <c r="C17" s="19" t="s">
        <v>119</v>
      </c>
      <c r="D17" s="12" t="s">
        <v>15</v>
      </c>
      <c r="E17" s="12" t="s">
        <v>79</v>
      </c>
      <c r="F17" s="12" t="s">
        <v>148</v>
      </c>
      <c r="G17" s="26" t="s">
        <v>144</v>
      </c>
      <c r="H17" s="15">
        <v>36441</v>
      </c>
    </row>
    <row r="18" spans="1:8" ht="75" customHeight="1" x14ac:dyDescent="0.25">
      <c r="A18" s="11">
        <f t="shared" si="0"/>
        <v>13</v>
      </c>
      <c r="B18" s="12" t="s">
        <v>25</v>
      </c>
      <c r="C18" s="19" t="s">
        <v>120</v>
      </c>
      <c r="D18" s="12" t="s">
        <v>15</v>
      </c>
      <c r="E18" s="12" t="s">
        <v>80</v>
      </c>
      <c r="F18" s="12" t="s">
        <v>148</v>
      </c>
      <c r="G18" s="26" t="s">
        <v>143</v>
      </c>
      <c r="H18" s="15">
        <v>40702</v>
      </c>
    </row>
    <row r="19" spans="1:8" ht="75" customHeight="1" x14ac:dyDescent="0.25">
      <c r="A19" s="11">
        <f t="shared" si="0"/>
        <v>14</v>
      </c>
      <c r="B19" s="12" t="s">
        <v>26</v>
      </c>
      <c r="C19" s="19" t="s">
        <v>121</v>
      </c>
      <c r="D19" s="12" t="s">
        <v>15</v>
      </c>
      <c r="E19" s="12" t="s">
        <v>81</v>
      </c>
      <c r="F19" s="12" t="s">
        <v>148</v>
      </c>
      <c r="G19" s="26" t="s">
        <v>145</v>
      </c>
      <c r="H19" s="15">
        <v>36234</v>
      </c>
    </row>
    <row r="20" spans="1:8" ht="75" customHeight="1" x14ac:dyDescent="0.25">
      <c r="A20" s="11">
        <f t="shared" si="0"/>
        <v>15</v>
      </c>
      <c r="B20" s="12" t="s">
        <v>27</v>
      </c>
      <c r="C20" s="19" t="s">
        <v>60</v>
      </c>
      <c r="D20" s="12" t="s">
        <v>15</v>
      </c>
      <c r="E20" s="12" t="s">
        <v>82</v>
      </c>
      <c r="F20" s="12" t="s">
        <v>148</v>
      </c>
      <c r="G20" s="26" t="s">
        <v>144</v>
      </c>
      <c r="H20" s="15">
        <v>38859</v>
      </c>
    </row>
    <row r="21" spans="1:8" ht="75" customHeight="1" x14ac:dyDescent="0.25">
      <c r="A21" s="11">
        <f>A20+1</f>
        <v>16</v>
      </c>
      <c r="B21" s="12" t="s">
        <v>28</v>
      </c>
      <c r="C21" s="24" t="s">
        <v>122</v>
      </c>
      <c r="D21" s="12" t="s">
        <v>15</v>
      </c>
      <c r="E21" s="12" t="s">
        <v>83</v>
      </c>
      <c r="F21" s="12" t="s">
        <v>148</v>
      </c>
      <c r="G21" s="26" t="s">
        <v>144</v>
      </c>
      <c r="H21" s="15">
        <v>42472</v>
      </c>
    </row>
    <row r="22" spans="1:8" ht="75" customHeight="1" x14ac:dyDescent="0.25">
      <c r="A22" s="11">
        <f t="shared" si="0"/>
        <v>17</v>
      </c>
      <c r="B22" s="14" t="s">
        <v>29</v>
      </c>
      <c r="C22" s="19" t="s">
        <v>61</v>
      </c>
      <c r="D22" s="12" t="s">
        <v>15</v>
      </c>
      <c r="E22" s="12" t="s">
        <v>84</v>
      </c>
      <c r="F22" s="12" t="s">
        <v>148</v>
      </c>
      <c r="G22" s="26" t="s">
        <v>143</v>
      </c>
      <c r="H22" s="15">
        <v>39996</v>
      </c>
    </row>
    <row r="23" spans="1:8" ht="75" customHeight="1" x14ac:dyDescent="0.25">
      <c r="A23" s="11">
        <f t="shared" si="0"/>
        <v>18</v>
      </c>
      <c r="B23" s="12" t="s">
        <v>30</v>
      </c>
      <c r="C23" s="19" t="s">
        <v>62</v>
      </c>
      <c r="D23" s="12" t="s">
        <v>15</v>
      </c>
      <c r="E23" s="16" t="s">
        <v>85</v>
      </c>
      <c r="F23" s="12" t="s">
        <v>148</v>
      </c>
      <c r="G23" s="26" t="s">
        <v>143</v>
      </c>
      <c r="H23" s="21">
        <v>38278</v>
      </c>
    </row>
    <row r="24" spans="1:8" ht="75" customHeight="1" x14ac:dyDescent="0.25">
      <c r="A24" s="11">
        <f t="shared" si="0"/>
        <v>19</v>
      </c>
      <c r="B24" s="12" t="s">
        <v>31</v>
      </c>
      <c r="C24" s="19" t="s">
        <v>123</v>
      </c>
      <c r="D24" s="12" t="s">
        <v>15</v>
      </c>
      <c r="E24" s="17" t="s">
        <v>86</v>
      </c>
      <c r="F24" s="12" t="s">
        <v>148</v>
      </c>
      <c r="G24" s="26" t="s">
        <v>146</v>
      </c>
      <c r="H24" s="15">
        <v>33966</v>
      </c>
    </row>
    <row r="25" spans="1:8" ht="75" customHeight="1" x14ac:dyDescent="0.25">
      <c r="A25" s="11">
        <f t="shared" si="0"/>
        <v>20</v>
      </c>
      <c r="B25" s="12" t="s">
        <v>14</v>
      </c>
      <c r="C25" s="19" t="s">
        <v>124</v>
      </c>
      <c r="D25" s="12" t="s">
        <v>15</v>
      </c>
      <c r="E25" s="17" t="s">
        <v>87</v>
      </c>
      <c r="F25" s="12" t="s">
        <v>148</v>
      </c>
      <c r="G25" s="26" t="s">
        <v>145</v>
      </c>
      <c r="H25" s="15">
        <v>36387</v>
      </c>
    </row>
    <row r="26" spans="1:8" ht="75" customHeight="1" x14ac:dyDescent="0.25">
      <c r="A26" s="11">
        <f t="shared" si="0"/>
        <v>21</v>
      </c>
      <c r="B26" s="12" t="s">
        <v>32</v>
      </c>
      <c r="C26" s="19" t="s">
        <v>125</v>
      </c>
      <c r="D26" s="12" t="s">
        <v>15</v>
      </c>
      <c r="E26" s="12" t="s">
        <v>88</v>
      </c>
      <c r="F26" s="12" t="s">
        <v>148</v>
      </c>
      <c r="G26" s="26" t="s">
        <v>144</v>
      </c>
      <c r="H26" s="15">
        <v>36081</v>
      </c>
    </row>
    <row r="27" spans="1:8" ht="75" customHeight="1" x14ac:dyDescent="0.25">
      <c r="A27" s="11">
        <f t="shared" si="0"/>
        <v>22</v>
      </c>
      <c r="B27" s="12" t="s">
        <v>33</v>
      </c>
      <c r="C27" s="19" t="s">
        <v>126</v>
      </c>
      <c r="D27" s="12" t="s">
        <v>15</v>
      </c>
      <c r="E27" s="12" t="s">
        <v>89</v>
      </c>
      <c r="F27" s="12" t="s">
        <v>148</v>
      </c>
      <c r="G27" s="26" t="s">
        <v>145</v>
      </c>
      <c r="H27" s="15">
        <v>35577</v>
      </c>
    </row>
    <row r="28" spans="1:8" ht="75" customHeight="1" x14ac:dyDescent="0.25">
      <c r="A28" s="11">
        <f t="shared" si="0"/>
        <v>23</v>
      </c>
      <c r="B28" s="12" t="s">
        <v>34</v>
      </c>
      <c r="C28" s="19" t="s">
        <v>127</v>
      </c>
      <c r="D28" s="12" t="s">
        <v>15</v>
      </c>
      <c r="E28" s="12" t="s">
        <v>90</v>
      </c>
      <c r="F28" s="12" t="s">
        <v>148</v>
      </c>
      <c r="G28" s="26" t="s">
        <v>145</v>
      </c>
      <c r="H28" s="15">
        <v>35143</v>
      </c>
    </row>
    <row r="29" spans="1:8" ht="75" customHeight="1" x14ac:dyDescent="0.25">
      <c r="A29" s="11">
        <f t="shared" si="0"/>
        <v>24</v>
      </c>
      <c r="B29" s="12" t="s">
        <v>35</v>
      </c>
      <c r="C29" s="20" t="s">
        <v>63</v>
      </c>
      <c r="D29" s="12" t="s">
        <v>15</v>
      </c>
      <c r="E29" s="12" t="s">
        <v>91</v>
      </c>
      <c r="F29" s="12" t="s">
        <v>148</v>
      </c>
      <c r="G29" s="26" t="s">
        <v>145</v>
      </c>
      <c r="H29" s="21">
        <v>36690</v>
      </c>
    </row>
    <row r="30" spans="1:8" ht="75" customHeight="1" x14ac:dyDescent="0.25">
      <c r="A30" s="11">
        <f t="shared" si="0"/>
        <v>25</v>
      </c>
      <c r="B30" s="12" t="s">
        <v>36</v>
      </c>
      <c r="C30" s="19" t="s">
        <v>128</v>
      </c>
      <c r="D30" s="12" t="s">
        <v>15</v>
      </c>
      <c r="E30" s="12" t="s">
        <v>92</v>
      </c>
      <c r="F30" s="12" t="s">
        <v>148</v>
      </c>
      <c r="G30" s="26" t="s">
        <v>143</v>
      </c>
      <c r="H30" s="15">
        <v>36291</v>
      </c>
    </row>
    <row r="31" spans="1:8" ht="75" customHeight="1" x14ac:dyDescent="0.25">
      <c r="A31" s="11">
        <f t="shared" si="0"/>
        <v>26</v>
      </c>
      <c r="B31" s="12" t="s">
        <v>37</v>
      </c>
      <c r="C31" s="19" t="s">
        <v>129</v>
      </c>
      <c r="D31" s="12" t="s">
        <v>15</v>
      </c>
      <c r="E31" s="12" t="s">
        <v>93</v>
      </c>
      <c r="F31" s="12" t="s">
        <v>148</v>
      </c>
      <c r="G31" s="26" t="s">
        <v>144</v>
      </c>
      <c r="H31" s="15">
        <v>33625</v>
      </c>
    </row>
    <row r="32" spans="1:8" ht="75" customHeight="1" x14ac:dyDescent="0.25">
      <c r="A32" s="11">
        <f t="shared" si="0"/>
        <v>27</v>
      </c>
      <c r="B32" s="12" t="s">
        <v>38</v>
      </c>
      <c r="C32" s="19" t="s">
        <v>141</v>
      </c>
      <c r="D32" s="12" t="s">
        <v>15</v>
      </c>
      <c r="E32" s="12" t="s">
        <v>94</v>
      </c>
      <c r="F32" s="12" t="s">
        <v>148</v>
      </c>
      <c r="G32" s="26" t="s">
        <v>144</v>
      </c>
      <c r="H32" s="21">
        <v>43857</v>
      </c>
    </row>
    <row r="33" spans="1:8" ht="75" customHeight="1" x14ac:dyDescent="0.25">
      <c r="A33" s="11">
        <f t="shared" si="0"/>
        <v>28</v>
      </c>
      <c r="B33" s="12" t="s">
        <v>39</v>
      </c>
      <c r="C33" s="19" t="s">
        <v>140</v>
      </c>
      <c r="D33" s="12" t="s">
        <v>15</v>
      </c>
      <c r="E33" s="12" t="s">
        <v>95</v>
      </c>
      <c r="F33" s="12" t="s">
        <v>148</v>
      </c>
      <c r="G33" s="26" t="s">
        <v>144</v>
      </c>
      <c r="H33" s="15">
        <v>34606</v>
      </c>
    </row>
    <row r="34" spans="1:8" ht="75" customHeight="1" x14ac:dyDescent="0.25">
      <c r="A34" s="11">
        <f t="shared" si="0"/>
        <v>29</v>
      </c>
      <c r="B34" s="12" t="s">
        <v>40</v>
      </c>
      <c r="C34" s="19" t="s">
        <v>139</v>
      </c>
      <c r="D34" s="12" t="s">
        <v>15</v>
      </c>
      <c r="E34" s="12" t="s">
        <v>96</v>
      </c>
      <c r="F34" s="12" t="s">
        <v>148</v>
      </c>
      <c r="G34" s="26" t="s">
        <v>143</v>
      </c>
      <c r="H34" s="15">
        <v>40282</v>
      </c>
    </row>
    <row r="35" spans="1:8" ht="75" customHeight="1" x14ac:dyDescent="0.25">
      <c r="A35" s="11">
        <f t="shared" si="0"/>
        <v>30</v>
      </c>
      <c r="B35" s="12" t="s">
        <v>41</v>
      </c>
      <c r="C35" s="19" t="s">
        <v>64</v>
      </c>
      <c r="D35" s="12" t="s">
        <v>15</v>
      </c>
      <c r="E35" s="12" t="s">
        <v>97</v>
      </c>
      <c r="F35" s="12" t="s">
        <v>148</v>
      </c>
      <c r="G35" s="26" t="s">
        <v>144</v>
      </c>
      <c r="H35" s="15">
        <v>37895</v>
      </c>
    </row>
    <row r="36" spans="1:8" ht="75" customHeight="1" x14ac:dyDescent="0.25">
      <c r="A36" s="11">
        <f t="shared" si="0"/>
        <v>31</v>
      </c>
      <c r="B36" s="12" t="s">
        <v>42</v>
      </c>
      <c r="C36" s="24" t="s">
        <v>65</v>
      </c>
      <c r="D36" s="12" t="s">
        <v>15</v>
      </c>
      <c r="E36" s="12" t="s">
        <v>98</v>
      </c>
      <c r="F36" s="12" t="s">
        <v>148</v>
      </c>
      <c r="G36" s="26" t="s">
        <v>144</v>
      </c>
      <c r="H36" s="15">
        <v>36997</v>
      </c>
    </row>
    <row r="37" spans="1:8" ht="75" customHeight="1" x14ac:dyDescent="0.25">
      <c r="A37" s="11">
        <f t="shared" si="0"/>
        <v>32</v>
      </c>
      <c r="B37" s="14" t="s">
        <v>43</v>
      </c>
      <c r="C37" s="19" t="s">
        <v>66</v>
      </c>
      <c r="D37" s="12" t="s">
        <v>15</v>
      </c>
      <c r="E37" s="12" t="s">
        <v>99</v>
      </c>
      <c r="F37" s="12" t="s">
        <v>148</v>
      </c>
      <c r="G37" s="26" t="s">
        <v>143</v>
      </c>
      <c r="H37" s="15">
        <v>39765</v>
      </c>
    </row>
    <row r="38" spans="1:8" ht="75" customHeight="1" x14ac:dyDescent="0.25">
      <c r="A38" s="11">
        <f t="shared" si="0"/>
        <v>33</v>
      </c>
      <c r="B38" s="12" t="s">
        <v>44</v>
      </c>
      <c r="C38" s="19" t="s">
        <v>67</v>
      </c>
      <c r="D38" s="12" t="s">
        <v>15</v>
      </c>
      <c r="E38" s="16" t="s">
        <v>100</v>
      </c>
      <c r="F38" s="12" t="s">
        <v>148</v>
      </c>
      <c r="G38" s="26" t="s">
        <v>144</v>
      </c>
      <c r="H38" s="15">
        <v>36836</v>
      </c>
    </row>
    <row r="39" spans="1:8" ht="75" customHeight="1" x14ac:dyDescent="0.25">
      <c r="A39" s="11">
        <f t="shared" si="0"/>
        <v>34</v>
      </c>
      <c r="B39" s="12" t="s">
        <v>45</v>
      </c>
      <c r="C39" s="19" t="s">
        <v>135</v>
      </c>
      <c r="D39" s="12" t="s">
        <v>15</v>
      </c>
      <c r="E39" s="17" t="s">
        <v>101</v>
      </c>
      <c r="F39" s="12" t="s">
        <v>148</v>
      </c>
      <c r="G39" s="26" t="s">
        <v>144</v>
      </c>
      <c r="H39" s="22">
        <v>41398</v>
      </c>
    </row>
    <row r="40" spans="1:8" ht="75" customHeight="1" x14ac:dyDescent="0.25">
      <c r="A40" s="11">
        <f t="shared" si="0"/>
        <v>35</v>
      </c>
      <c r="B40" s="12" t="s">
        <v>46</v>
      </c>
      <c r="C40" s="19" t="s">
        <v>136</v>
      </c>
      <c r="D40" s="12" t="s">
        <v>15</v>
      </c>
      <c r="E40" s="17" t="s">
        <v>102</v>
      </c>
      <c r="F40" s="12" t="s">
        <v>148</v>
      </c>
      <c r="G40" s="26" t="s">
        <v>144</v>
      </c>
      <c r="H40" s="15">
        <v>42194</v>
      </c>
    </row>
    <row r="41" spans="1:8" ht="75" customHeight="1" x14ac:dyDescent="0.25">
      <c r="A41" s="11">
        <f t="shared" si="0"/>
        <v>36</v>
      </c>
      <c r="B41" s="12" t="s">
        <v>47</v>
      </c>
      <c r="C41" s="19" t="s">
        <v>137</v>
      </c>
      <c r="D41" s="12" t="s">
        <v>15</v>
      </c>
      <c r="E41" s="12" t="s">
        <v>103</v>
      </c>
      <c r="F41" s="12" t="s">
        <v>148</v>
      </c>
      <c r="G41" s="26" t="s">
        <v>143</v>
      </c>
      <c r="H41" s="15">
        <v>40561</v>
      </c>
    </row>
    <row r="42" spans="1:8" ht="75" customHeight="1" x14ac:dyDescent="0.25">
      <c r="A42" s="11">
        <f t="shared" si="0"/>
        <v>37</v>
      </c>
      <c r="B42" s="12" t="s">
        <v>48</v>
      </c>
      <c r="C42" s="19" t="s">
        <v>138</v>
      </c>
      <c r="D42" s="12" t="s">
        <v>15</v>
      </c>
      <c r="E42" s="12" t="s">
        <v>104</v>
      </c>
      <c r="F42" s="12" t="s">
        <v>148</v>
      </c>
      <c r="G42" s="26" t="s">
        <v>144</v>
      </c>
      <c r="H42" s="15">
        <v>43967</v>
      </c>
    </row>
    <row r="43" spans="1:8" ht="75" customHeight="1" x14ac:dyDescent="0.25">
      <c r="A43" s="11">
        <f t="shared" si="0"/>
        <v>38</v>
      </c>
      <c r="B43" s="12" t="s">
        <v>49</v>
      </c>
      <c r="C43" s="19" t="s">
        <v>134</v>
      </c>
      <c r="D43" s="12" t="s">
        <v>15</v>
      </c>
      <c r="E43" s="12" t="s">
        <v>105</v>
      </c>
      <c r="F43" s="12" t="s">
        <v>148</v>
      </c>
      <c r="G43" s="26" t="s">
        <v>144</v>
      </c>
      <c r="H43" s="15">
        <v>42346</v>
      </c>
    </row>
    <row r="44" spans="1:8" ht="75" customHeight="1" x14ac:dyDescent="0.25">
      <c r="A44" s="11">
        <f t="shared" si="0"/>
        <v>39</v>
      </c>
      <c r="B44" s="12" t="s">
        <v>50</v>
      </c>
      <c r="C44" s="20" t="s">
        <v>133</v>
      </c>
      <c r="D44" s="12" t="s">
        <v>15</v>
      </c>
      <c r="E44" s="12" t="s">
        <v>106</v>
      </c>
      <c r="F44" s="12" t="s">
        <v>148</v>
      </c>
      <c r="G44" s="26" t="s">
        <v>143</v>
      </c>
      <c r="H44" s="15">
        <v>40234</v>
      </c>
    </row>
    <row r="45" spans="1:8" ht="75" customHeight="1" x14ac:dyDescent="0.25">
      <c r="A45" s="11">
        <f t="shared" si="0"/>
        <v>40</v>
      </c>
      <c r="B45" s="12" t="s">
        <v>51</v>
      </c>
      <c r="C45" s="19" t="s">
        <v>68</v>
      </c>
      <c r="D45" s="12" t="s">
        <v>15</v>
      </c>
      <c r="E45" s="12" t="s">
        <v>107</v>
      </c>
      <c r="F45" s="12" t="s">
        <v>148</v>
      </c>
      <c r="G45" s="26" t="s">
        <v>144</v>
      </c>
      <c r="H45" s="21">
        <v>39064</v>
      </c>
    </row>
    <row r="46" spans="1:8" ht="75" customHeight="1" x14ac:dyDescent="0.25">
      <c r="A46" s="11">
        <f t="shared" si="0"/>
        <v>41</v>
      </c>
      <c r="B46" s="12" t="s">
        <v>52</v>
      </c>
      <c r="C46" s="19" t="s">
        <v>69</v>
      </c>
      <c r="D46" s="12" t="s">
        <v>15</v>
      </c>
      <c r="E46" s="12" t="s">
        <v>108</v>
      </c>
      <c r="F46" s="12" t="s">
        <v>148</v>
      </c>
      <c r="G46" s="26" t="s">
        <v>144</v>
      </c>
      <c r="H46" s="21">
        <v>37913</v>
      </c>
    </row>
    <row r="47" spans="1:8" ht="75" customHeight="1" x14ac:dyDescent="0.25">
      <c r="A47" s="11">
        <f t="shared" si="0"/>
        <v>42</v>
      </c>
      <c r="B47" s="12" t="s">
        <v>53</v>
      </c>
      <c r="C47" s="19" t="s">
        <v>132</v>
      </c>
      <c r="D47" s="12" t="s">
        <v>15</v>
      </c>
      <c r="E47" s="12" t="s">
        <v>109</v>
      </c>
      <c r="F47" s="12" t="s">
        <v>148</v>
      </c>
      <c r="G47" s="26" t="s">
        <v>144</v>
      </c>
      <c r="H47" s="21">
        <v>43360</v>
      </c>
    </row>
    <row r="48" spans="1:8" ht="75" customHeight="1" x14ac:dyDescent="0.25">
      <c r="A48" s="11">
        <f t="shared" si="0"/>
        <v>43</v>
      </c>
      <c r="B48" s="12" t="s">
        <v>54</v>
      </c>
      <c r="C48" s="19" t="s">
        <v>131</v>
      </c>
      <c r="D48" s="12" t="s">
        <v>15</v>
      </c>
      <c r="E48" s="12" t="s">
        <v>110</v>
      </c>
      <c r="F48" s="12" t="s">
        <v>148</v>
      </c>
      <c r="G48" s="26" t="s">
        <v>143</v>
      </c>
      <c r="H48" s="21">
        <v>40462</v>
      </c>
    </row>
    <row r="49" spans="1:8" ht="75" customHeight="1" x14ac:dyDescent="0.25">
      <c r="A49" s="11">
        <f t="shared" si="0"/>
        <v>44</v>
      </c>
      <c r="B49" s="12" t="s">
        <v>55</v>
      </c>
      <c r="C49" s="19" t="s">
        <v>130</v>
      </c>
      <c r="D49" s="12" t="s">
        <v>15</v>
      </c>
      <c r="E49" s="12" t="s">
        <v>111</v>
      </c>
      <c r="F49" s="12" t="s">
        <v>148</v>
      </c>
      <c r="G49" s="26" t="s">
        <v>145</v>
      </c>
      <c r="H49" s="21">
        <v>43199</v>
      </c>
    </row>
  </sheetData>
  <mergeCells count="1">
    <mergeCell ref="A3:H3"/>
  </mergeCells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 полугодие 2026 рус</vt:lpstr>
      <vt:lpstr>'I полугодие 2026 рус'!Область_печати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Елнұр Нықат</cp:lastModifiedBy>
  <cp:lastPrinted>2023-04-14T10:20:54Z</cp:lastPrinted>
  <dcterms:created xsi:type="dcterms:W3CDTF">2015-01-30T04:09:05Z</dcterms:created>
  <dcterms:modified xsi:type="dcterms:W3CDTF">2025-12-18T13:24:59Z</dcterms:modified>
</cp:coreProperties>
</file>